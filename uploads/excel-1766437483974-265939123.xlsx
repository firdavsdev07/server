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D9A224A-7C1B-4796-882F-0EAE026EF6F6}" xr6:coauthVersionLast="45" xr6:coauthVersionMax="45" xr10:uidLastSave="{00000000-0000-0000-0000-000000000000}"/>
  <bookViews>
    <workbookView xWindow="45" yWindow="1500" windowWidth="57390" windowHeight="1093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27" i="1" l="1"/>
  <c r="F10" i="1"/>
  <c r="F5" i="1"/>
  <c r="F3" i="1"/>
</calcChain>
</file>

<file path=xl/sharedStrings.xml><?xml version="1.0" encoding="utf-8"?>
<sst xmlns="http://schemas.openxmlformats.org/spreadsheetml/2006/main" count="131" uniqueCount="119">
  <si>
    <t>startDate</t>
  </si>
  <si>
    <t>initialPaymentDueDate</t>
  </si>
  <si>
    <t>nextPaymentDate</t>
  </si>
  <si>
    <t>customer</t>
  </si>
  <si>
    <t>productName</t>
  </si>
  <si>
    <t>originalPrice</t>
  </si>
  <si>
    <t>price</t>
  </si>
  <si>
    <t>initialPayment</t>
  </si>
  <si>
    <t>period</t>
  </si>
  <si>
    <t>monthlyPayment</t>
  </si>
  <si>
    <t>totalPrice</t>
  </si>
  <si>
    <t>percentage</t>
  </si>
  <si>
    <t>notes</t>
  </si>
  <si>
    <t>box</t>
  </si>
  <si>
    <t>mbox</t>
  </si>
  <si>
    <t>receipt</t>
  </si>
  <si>
    <t>iCloud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</si>
  <si>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</si>
  <si>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</si>
  <si>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</si>
  <si>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</si>
  <si>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</si>
  <si>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</si>
  <si>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</si>
  <si>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</si>
  <si>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</si>
  <si>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</si>
  <si>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</si>
  <si>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</si>
  <si>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</si>
  <si>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</si>
  <si>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</si>
  <si>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</si>
  <si>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</si>
  <si>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</si>
  <si>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</si>
  <si>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</si>
  <si>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</si>
  <si>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</si>
  <si>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</si>
  <si>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</si>
  <si>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</si>
  <si>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</si>
  <si>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</si>
  <si>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</si>
  <si>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</si>
  <si>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</si>
  <si>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</si>
  <si>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</si>
  <si>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</si>
  <si>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</si>
  <si>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</si>
  <si>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</si>
  <si>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Chiqqan sana1-to'lov sanasi</t>
  </si>
  <si>
    <t>To`lov sanasi</t>
  </si>
  <si>
    <t>Kimga</t>
  </si>
  <si>
    <t>Texnika</t>
  </si>
  <si>
    <t>Tani</t>
  </si>
  <si>
    <t>Etilgan</t>
  </si>
  <si>
    <t>1-vznos</t>
  </si>
  <si>
    <t>Oy</t>
  </si>
  <si>
    <t>Oyiga</t>
  </si>
  <si>
    <t>Umumiy summa</t>
  </si>
  <si>
    <t>foiz</t>
  </si>
  <si>
    <t>izoh</t>
  </si>
  <si>
    <t>Karobka</t>
  </si>
  <si>
    <t>Muslim Karobka</t>
  </si>
  <si>
    <t>check</t>
  </si>
  <si>
    <t>KB</t>
  </si>
  <si>
    <t xml:space="preserve">P AB </t>
  </si>
  <si>
    <t>SASHA 40</t>
  </si>
  <si>
    <t>P SHER FAB</t>
  </si>
  <si>
    <t>P EH XOJI SARU</t>
  </si>
  <si>
    <t>P SMM MUROD</t>
  </si>
  <si>
    <t>SALOH BEGZOD</t>
  </si>
  <si>
    <t>SARVAR MUSTAFO</t>
  </si>
  <si>
    <t>SN MUXALI</t>
  </si>
  <si>
    <t>KOZIM</t>
  </si>
  <si>
    <t>IPHONE 14 PRO MAX (128) 4 TA</t>
  </si>
  <si>
    <t>IPHONE 15 PRO MAX (256)</t>
  </si>
  <si>
    <t>BITOVOY</t>
  </si>
  <si>
    <t>IPHONE 13 PRO MAX (512)</t>
  </si>
  <si>
    <t>IPHONE 15 PRO (128)</t>
  </si>
  <si>
    <t>IPHONE 1 PRO (128)</t>
  </si>
  <si>
    <t>IPHONE 14 (128)</t>
  </si>
  <si>
    <t>IPHONE 13 PRO (128)</t>
  </si>
  <si>
    <t>bor</t>
  </si>
  <si>
    <t>FARXOD OKA (KOMOL)</t>
  </si>
  <si>
    <t>ZABIXULLO</t>
  </si>
  <si>
    <t>AL MAH SAID</t>
  </si>
  <si>
    <t>D28 ESHIK</t>
  </si>
  <si>
    <t>AKI</t>
  </si>
  <si>
    <t>NODIR 37</t>
  </si>
  <si>
    <t>P AZIZ MAH</t>
  </si>
  <si>
    <t xml:space="preserve">BM IXTIYOR </t>
  </si>
  <si>
    <t>P SHAX ARM</t>
  </si>
  <si>
    <t>UMS</t>
  </si>
  <si>
    <t>STOM APARAT</t>
  </si>
  <si>
    <t>IPHONE 15 PRO MAX (256) 3 TA</t>
  </si>
  <si>
    <t>IPHONE 12 PRO MAX (256)</t>
  </si>
  <si>
    <t>MI NOTE 13 PRO (128)</t>
  </si>
  <si>
    <t>IPHONE 15 PRO MAX (256) + (512)</t>
  </si>
  <si>
    <t>SAMSUNG S24 ULTRA</t>
  </si>
  <si>
    <t>IPHONE 15 PRO MAX (256) + (512) 3 TA</t>
  </si>
  <si>
    <t>UMIDA</t>
  </si>
  <si>
    <t>A11 ABDULLO</t>
  </si>
  <si>
    <t>YASHNAR FAYZULLA</t>
  </si>
  <si>
    <t>JONDOST 43</t>
  </si>
  <si>
    <t>P ABL</t>
  </si>
  <si>
    <t>UMS (TOLMAS)</t>
  </si>
  <si>
    <t>UMS (GULNOZA)</t>
  </si>
  <si>
    <t>Q ABDULLO</t>
  </si>
  <si>
    <t>IPHONE 15 PRO MAX (256) 2 TA</t>
  </si>
  <si>
    <t>IPHONE 13 PRO MAX (128)</t>
  </si>
  <si>
    <t>XOLODILNIK</t>
  </si>
  <si>
    <t>IPHONE 13 (128)</t>
  </si>
  <si>
    <t>SAMSUNG S24 ULTRA (256) + IPHONE 15 PRO MAX (256)</t>
  </si>
  <si>
    <t>IPHONE 12 PRO (128)</t>
  </si>
  <si>
    <t>M ABDULLO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</si>
</sst>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5" x14ac:knownFonts="1">
    <font>
      <sz val="10"/>
      <name val="Arial"/>
      <family val="2"/>
    </font>
    <font>
      <sz val="8"/>
      <name val="Arial"/>
      <family val="2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0"/>
      <color theme="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14" fontId="0" fillId="0" borderId="0" xfId="0" applyNumberFormat="1" applyBorder="1"/>
    <xf numFmtId="14" fontId="0" fillId="0" borderId="0" xfId="0" applyNumberFormat="1" applyBorder="1" applyAlignment="1">
      <alignment horizontal="center"/>
    </xf>
    <xf numFmtId="0" fontId="2" fillId="2" borderId="0" xfId="0" applyFont="1" applyFill="1" applyBorder="1" applyAlignment="1">
      <alignment horizontal="left" vertical="top"/>
    </xf>
    <xf numFmtId="164" fontId="2" fillId="2" borderId="0" xfId="0" applyNumberFormat="1" applyFont="1" applyFill="1" applyBorder="1" applyAlignment="1">
      <alignment horizontal="left" vertical="top"/>
    </xf>
    <xf numFmtId="14" fontId="0" fillId="4" borderId="0" xfId="0" applyNumberFormat="1" applyFill="1" applyBorder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 applyFont="1"/>
    <xf numFmtId="1" fontId="3" fillId="2" borderId="0" xfId="0" applyNumberFormat="1" applyFont="1" applyFill="1" applyBorder="1" applyAlignment="1">
      <alignment horizontal="right" vertical="center" wrapText="1"/>
    </xf>
    <xf numFmtId="1" fontId="3" fillId="2" borderId="0" xfId="0" applyNumberFormat="1" applyFont="1" applyFill="1" applyBorder="1" applyAlignment="1">
      <alignment horizontal="center" vertical="center" wrapText="1"/>
    </xf>
    <xf numFmtId="1" fontId="4" fillId="3" borderId="0" xfId="0" applyNumberFormat="1" applyFont="1" applyFill="1" applyBorder="1" applyAlignment="1">
      <alignment horizontal="right" vertical="center" wrapText="1"/>
    </xf>
    <xf numFmtId="1" fontId="0" fillId="0" borderId="0" xfId="0" applyNumberFormat="1" applyBorder="1" applyAlignment="1">
      <alignment horizontal="center"/>
    </xf>
    <xf numFmtId="1" fontId="0" fillId="0" borderId="0" xfId="0" applyNumberFormat="1" applyBorder="1"/>
  </cellXfs>
  <cellStyles count="1">
    <cellStyle name="Обычный" xfId="0" builtinId="0"/>
  </cellStyles>
  <dxfs count="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2"/>
  <sheetViews>
    <sheetView tabSelected="1" topLeftCell="A4" zoomScale="145" zoomScaleNormal="145" workbookViewId="0">
      <pane xSplit="16" topLeftCell="AL1" activePane="topRight" state="frozen"/>
      <selection pane="topRight" activeCell="D29" sqref="D29"/>
    </sheetView>
  </sheetViews>
  <sheetFormatPr defaultColWidth="11.5703125" defaultRowHeight="12.75" x14ac:dyDescent="0.2"/>
  <cols>
    <col min="2" max="2" width="11.5703125" style="8"/>
    <col min="4" max="4" width="15" bestFit="1" customWidth="1"/>
    <col min="5" max="5" width="26" bestFit="1" customWidth="1"/>
    <col min="6" max="11" width="11.5703125" style="7"/>
    <col min="12" max="12" width="11.5703125" style="8"/>
    <col min="13" max="13" width="5.28515625" style="7" customWidth="1"/>
    <col min="14" max="14" width="7" style="7" customWidth="1"/>
    <col min="15" max="15" width="7.42578125" style="7" customWidth="1"/>
    <col min="16" max="16" width="6" style="7" customWidth="1"/>
    <col min="17" max="53" width="11.5703125" style="7"/>
  </cols>
  <sheetData>
    <row r="1" spans="1:53" x14ac:dyDescent="0.2">
      <c r="A1" t="s">
        <v>0</v>
      </c>
      <c r="B1" s="8" t="s">
        <v>1</v>
      </c>
      <c r="C1" t="s">
        <v>2</v>
      </c>
      <c r="D1" t="s">
        <v>3</v>
      </c>
      <c r="E1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</row>
    <row r="2" spans="1:53" x14ac:dyDescent="0.2">
      <c r="A2" t="s">
        <v>53</v>
      </c>
      <c r="C2" t="s">
        <v>54</v>
      </c>
      <c r="D2" t="s">
        <v>55</v>
      </c>
      <c r="E2" t="s">
        <v>56</v>
      </c>
      <c r="F2" s="7" t="s">
        <v>57</v>
      </c>
      <c r="G2" s="7" t="s">
        <v>58</v>
      </c>
      <c r="H2" s="7" t="s">
        <v>59</v>
      </c>
      <c r="I2" s="7" t="s">
        <v>60</v>
      </c>
      <c r="J2" s="7" t="s">
        <v>61</v>
      </c>
      <c r="K2" s="7" t="s">
        <v>62</v>
      </c>
      <c r="L2" s="8" t="s">
        <v>63</v>
      </c>
      <c r="M2" s="7" t="s">
        <v>64</v>
      </c>
      <c r="N2" s="7" t="s">
        <v>65</v>
      </c>
      <c r="O2" s="7" t="s">
        <v>66</v>
      </c>
      <c r="P2" s="7" t="s">
        <v>67</v>
      </c>
      <c r="AT2" s="8"/>
      <c r="AU2" s="8"/>
      <c r="AV2" s="8"/>
      <c r="AW2" s="8"/>
      <c r="AX2" s="8"/>
      <c r="AY2" s="8"/>
    </row>
    <row r="3" spans="1:53" x14ac:dyDescent="0.2">
      <c r="A3" s="2">
        <v>45795</v>
      </c>
      <c r="B3" s="13">
        <v>18</v>
      </c>
      <c r="C3" s="3">
        <v>45826</v>
      </c>
      <c r="D3" s="1" t="s">
        <v>104</v>
      </c>
      <c r="E3" s="4" t="s">
        <v>112</v>
      </c>
      <c r="F3" s="10">
        <f>1190+1210</f>
        <v>2400</v>
      </c>
      <c r="G3" s="10">
        <v>2460</v>
      </c>
      <c r="H3" s="11">
        <v>0</v>
      </c>
      <c r="I3" s="11">
        <v>8</v>
      </c>
      <c r="J3" s="12">
        <v>425</v>
      </c>
      <c r="K3" s="13">
        <v>3400</v>
      </c>
      <c r="L3" s="13">
        <v>30</v>
      </c>
      <c r="M3" s="14"/>
      <c r="N3" s="13"/>
      <c r="O3" s="14"/>
      <c r="AU3" s="8">
        <v>400</v>
      </c>
      <c r="AV3" s="8"/>
      <c r="AW3" s="8"/>
      <c r="AX3" s="8"/>
      <c r="AY3" s="8"/>
      <c r="AZ3" s="8"/>
    </row>
    <row r="4" spans="1:53" x14ac:dyDescent="0.2">
      <c r="A4" s="2">
        <v>45795</v>
      </c>
      <c r="B4" s="13">
        <v>18</v>
      </c>
      <c r="C4" s="3">
        <v>45826</v>
      </c>
      <c r="D4" s="1" t="s">
        <v>105</v>
      </c>
      <c r="E4" s="4" t="s">
        <v>113</v>
      </c>
      <c r="F4" s="10">
        <v>650</v>
      </c>
      <c r="G4" s="10">
        <v>650</v>
      </c>
      <c r="H4" s="11">
        <v>0</v>
      </c>
      <c r="I4" s="11">
        <v>6</v>
      </c>
      <c r="J4" s="12">
        <v>138</v>
      </c>
      <c r="K4" s="13">
        <v>828</v>
      </c>
      <c r="L4" s="13">
        <v>30</v>
      </c>
      <c r="M4" s="14"/>
      <c r="N4" s="13"/>
      <c r="O4" s="14"/>
      <c r="AU4" s="8">
        <v>138</v>
      </c>
      <c r="AV4" s="8">
        <v>138</v>
      </c>
      <c r="AW4" s="8">
        <v>138</v>
      </c>
      <c r="AX4" s="8">
        <v>138</v>
      </c>
      <c r="AY4" s="8">
        <v>138</v>
      </c>
      <c r="AZ4" s="8"/>
    </row>
    <row r="5" spans="1:53" x14ac:dyDescent="0.2">
      <c r="A5" s="2">
        <v>45795</v>
      </c>
      <c r="B5" s="13">
        <v>18</v>
      </c>
      <c r="C5" s="3">
        <v>45826</v>
      </c>
      <c r="D5" s="1" t="s">
        <v>106</v>
      </c>
      <c r="E5" s="4" t="s">
        <v>112</v>
      </c>
      <c r="F5" s="10">
        <f>1155+1180</f>
        <v>2335</v>
      </c>
      <c r="G5" s="10">
        <v>2380</v>
      </c>
      <c r="H5" s="11">
        <v>0</v>
      </c>
      <c r="I5" s="11">
        <v>12</v>
      </c>
      <c r="J5" s="12">
        <v>300</v>
      </c>
      <c r="K5" s="13">
        <v>3600</v>
      </c>
      <c r="L5" s="13">
        <v>30</v>
      </c>
      <c r="M5" s="14"/>
      <c r="N5" s="13"/>
      <c r="O5" s="14"/>
      <c r="AU5" s="8">
        <v>300</v>
      </c>
      <c r="AV5" s="8">
        <v>300</v>
      </c>
      <c r="AW5" s="8">
        <v>300</v>
      </c>
      <c r="AX5" s="8">
        <v>300</v>
      </c>
      <c r="AY5" s="8">
        <v>300</v>
      </c>
      <c r="AZ5" s="8"/>
    </row>
    <row r="6" spans="1:53" x14ac:dyDescent="0.2">
      <c r="A6" s="2">
        <v>45795</v>
      </c>
      <c r="B6" s="13">
        <v>18</v>
      </c>
      <c r="C6" s="3">
        <v>45826</v>
      </c>
      <c r="D6" s="1" t="s">
        <v>107</v>
      </c>
      <c r="E6" s="4" t="s">
        <v>114</v>
      </c>
      <c r="F6" s="10">
        <v>1450</v>
      </c>
      <c r="G6" s="10">
        <v>1450</v>
      </c>
      <c r="H6" s="11">
        <v>200</v>
      </c>
      <c r="I6" s="11">
        <v>12</v>
      </c>
      <c r="J6" s="12">
        <v>160</v>
      </c>
      <c r="K6" s="13">
        <v>2120</v>
      </c>
      <c r="L6" s="13">
        <v>30</v>
      </c>
      <c r="M6" s="14"/>
      <c r="N6" s="13"/>
      <c r="O6" s="14"/>
      <c r="AU6" s="8">
        <v>160</v>
      </c>
      <c r="AV6" s="8">
        <v>160</v>
      </c>
      <c r="AW6" s="8">
        <v>100</v>
      </c>
      <c r="AX6" s="8"/>
      <c r="AY6" s="8"/>
      <c r="AZ6" s="8"/>
    </row>
    <row r="7" spans="1:53" x14ac:dyDescent="0.2">
      <c r="A7" s="2">
        <v>45795</v>
      </c>
      <c r="B7" s="13">
        <v>18</v>
      </c>
      <c r="C7" s="3">
        <v>45826</v>
      </c>
      <c r="D7" s="1" t="s">
        <v>108</v>
      </c>
      <c r="E7" s="4" t="s">
        <v>79</v>
      </c>
      <c r="F7" s="10">
        <v>1180</v>
      </c>
      <c r="G7" s="10">
        <v>1200</v>
      </c>
      <c r="H7" s="11">
        <v>0</v>
      </c>
      <c r="I7" s="11">
        <v>12</v>
      </c>
      <c r="J7" s="12">
        <v>145</v>
      </c>
      <c r="K7" s="13">
        <v>1740</v>
      </c>
      <c r="L7" s="13">
        <v>30</v>
      </c>
      <c r="M7" s="14"/>
      <c r="N7" s="13"/>
      <c r="O7" s="14"/>
      <c r="AU7" s="8">
        <v>145</v>
      </c>
      <c r="AV7" s="8">
        <v>145</v>
      </c>
      <c r="AW7" s="8"/>
      <c r="AX7" s="8"/>
      <c r="AY7" s="8"/>
      <c r="AZ7" s="8"/>
    </row>
    <row r="8" spans="1:53" x14ac:dyDescent="0.2">
      <c r="A8" s="2">
        <v>45795</v>
      </c>
      <c r="B8" s="13">
        <v>18</v>
      </c>
      <c r="C8" s="3">
        <v>45826</v>
      </c>
      <c r="D8" s="1" t="s">
        <v>109</v>
      </c>
      <c r="E8" s="4" t="s">
        <v>79</v>
      </c>
      <c r="F8" s="10">
        <v>1170</v>
      </c>
      <c r="G8" s="10">
        <v>1200</v>
      </c>
      <c r="H8" s="11">
        <v>300</v>
      </c>
      <c r="I8" s="11">
        <v>5</v>
      </c>
      <c r="J8" s="12">
        <v>220</v>
      </c>
      <c r="K8" s="13">
        <v>1400</v>
      </c>
      <c r="L8" s="13">
        <v>30</v>
      </c>
      <c r="M8" s="14"/>
      <c r="N8" s="13"/>
      <c r="O8" s="14"/>
      <c r="AU8" s="8">
        <v>220</v>
      </c>
      <c r="AV8" s="8">
        <v>220</v>
      </c>
      <c r="AW8" s="8">
        <v>220</v>
      </c>
      <c r="AX8" s="8">
        <v>220</v>
      </c>
      <c r="AY8" s="8">
        <v>20</v>
      </c>
      <c r="AZ8" s="8"/>
    </row>
    <row r="9" spans="1:53" x14ac:dyDescent="0.2">
      <c r="A9" s="2">
        <v>45795</v>
      </c>
      <c r="B9" s="13">
        <v>18</v>
      </c>
      <c r="C9" s="3">
        <v>45826</v>
      </c>
      <c r="D9" s="1" t="s">
        <v>88</v>
      </c>
      <c r="E9" s="4" t="s">
        <v>115</v>
      </c>
      <c r="F9" s="10">
        <v>460</v>
      </c>
      <c r="G9" s="10">
        <v>480</v>
      </c>
      <c r="H9" s="11">
        <v>0</v>
      </c>
      <c r="I9" s="11">
        <v>12</v>
      </c>
      <c r="J9" s="12">
        <v>60</v>
      </c>
      <c r="K9" s="13">
        <v>720</v>
      </c>
      <c r="L9" s="13">
        <v>30</v>
      </c>
      <c r="M9" s="14"/>
      <c r="N9" s="13"/>
      <c r="O9" s="14"/>
      <c r="AU9" s="8">
        <v>60</v>
      </c>
      <c r="AV9" s="8">
        <v>60</v>
      </c>
      <c r="AW9" s="8">
        <v>60</v>
      </c>
      <c r="AX9" s="8">
        <v>60</v>
      </c>
      <c r="AY9" s="8">
        <v>60</v>
      </c>
      <c r="AZ9" s="8"/>
    </row>
    <row r="10" spans="1:53" x14ac:dyDescent="0.2">
      <c r="A10" s="2">
        <v>45794</v>
      </c>
      <c r="B10" s="13">
        <v>17</v>
      </c>
      <c r="C10" s="6">
        <v>45825</v>
      </c>
      <c r="D10" s="1" t="s">
        <v>110</v>
      </c>
      <c r="E10" s="4" t="s">
        <v>116</v>
      </c>
      <c r="F10" s="10">
        <f>995+1150</f>
        <v>2145</v>
      </c>
      <c r="G10" s="10">
        <v>2210</v>
      </c>
      <c r="H10" s="11">
        <v>400</v>
      </c>
      <c r="I10" s="11">
        <v>10</v>
      </c>
      <c r="J10" s="12">
        <v>260</v>
      </c>
      <c r="K10" s="13">
        <v>3000</v>
      </c>
      <c r="L10" s="13">
        <v>30</v>
      </c>
      <c r="M10" s="14"/>
      <c r="N10" s="13"/>
      <c r="O10" s="14"/>
      <c r="AU10" s="8">
        <v>260</v>
      </c>
      <c r="AV10" s="8">
        <v>260</v>
      </c>
      <c r="AW10" s="8">
        <v>260</v>
      </c>
      <c r="AX10" s="8">
        <v>260</v>
      </c>
      <c r="AY10" s="8">
        <v>260</v>
      </c>
      <c r="AZ10" s="8"/>
    </row>
    <row r="11" spans="1:53" x14ac:dyDescent="0.2">
      <c r="A11" s="2">
        <v>45794</v>
      </c>
      <c r="B11" s="13">
        <v>17</v>
      </c>
      <c r="C11" s="6">
        <v>45825</v>
      </c>
      <c r="D11" s="1" t="s">
        <v>118</v>
      </c>
      <c r="E11" s="4" t="s">
        <v>111</v>
      </c>
      <c r="F11" s="10">
        <v>3000</v>
      </c>
      <c r="G11" s="10">
        <v>3000</v>
      </c>
      <c r="H11" s="11">
        <v>0</v>
      </c>
      <c r="I11" s="11">
        <v>10</v>
      </c>
      <c r="J11" s="12">
        <v>300</v>
      </c>
      <c r="K11" s="13">
        <v>3000</v>
      </c>
      <c r="L11" s="13">
        <v>30</v>
      </c>
      <c r="M11" s="14"/>
      <c r="N11" s="13"/>
      <c r="O11" s="14"/>
      <c r="AU11" s="8">
        <v>300</v>
      </c>
      <c r="AV11" s="8">
        <v>300</v>
      </c>
      <c r="AW11" s="8">
        <v>300</v>
      </c>
      <c r="AX11" s="8">
        <v>300</v>
      </c>
      <c r="AY11" s="8">
        <v>300</v>
      </c>
      <c r="AZ11" s="8"/>
    </row>
    <row r="12" spans="1:53" x14ac:dyDescent="0.2">
      <c r="A12" s="2">
        <v>45794</v>
      </c>
      <c r="B12" s="13">
        <v>17</v>
      </c>
      <c r="C12" s="6">
        <v>45825</v>
      </c>
      <c r="D12" s="1" t="s">
        <v>92</v>
      </c>
      <c r="E12" s="4" t="s">
        <v>117</v>
      </c>
      <c r="F12" s="10">
        <v>400</v>
      </c>
      <c r="G12" s="10">
        <v>400</v>
      </c>
      <c r="H12" s="11">
        <v>100</v>
      </c>
      <c r="I12" s="11">
        <v>6</v>
      </c>
      <c r="J12" s="12">
        <v>65</v>
      </c>
      <c r="K12" s="13">
        <v>490</v>
      </c>
      <c r="L12" s="13">
        <v>30</v>
      </c>
      <c r="M12" s="14"/>
      <c r="N12" s="13"/>
      <c r="O12" s="14"/>
      <c r="AU12" s="8">
        <v>65</v>
      </c>
      <c r="AV12" s="8">
        <v>65</v>
      </c>
      <c r="AW12" s="8">
        <v>65</v>
      </c>
      <c r="AX12" s="8">
        <v>65</v>
      </c>
      <c r="AY12" s="8"/>
      <c r="AZ12" s="8"/>
    </row>
    <row r="13" spans="1:53" x14ac:dyDescent="0.2">
      <c r="A13" s="2">
        <v>45825</v>
      </c>
      <c r="B13" s="13">
        <v>17</v>
      </c>
      <c r="C13" s="6">
        <v>45855</v>
      </c>
      <c r="D13" s="1" t="s">
        <v>68</v>
      </c>
      <c r="E13" s="5" t="s">
        <v>78</v>
      </c>
      <c r="F13" s="10">
        <v>5010</v>
      </c>
      <c r="G13" s="10">
        <v>5120</v>
      </c>
      <c r="H13" s="11">
        <v>0</v>
      </c>
      <c r="I13" s="11">
        <v>1</v>
      </c>
      <c r="J13" s="12">
        <v>5330</v>
      </c>
      <c r="K13" s="13">
        <v>5330</v>
      </c>
      <c r="L13" s="13">
        <v>30</v>
      </c>
      <c r="M13" s="14"/>
      <c r="N13" s="13"/>
      <c r="O13" s="14"/>
      <c r="AU13" s="8"/>
      <c r="AV13" s="8">
        <v>330</v>
      </c>
      <c r="AW13" s="8">
        <v>2000</v>
      </c>
      <c r="AX13" s="8"/>
      <c r="AY13" s="8"/>
      <c r="AZ13" s="8"/>
    </row>
    <row r="14" spans="1:53" x14ac:dyDescent="0.2">
      <c r="A14" s="2">
        <v>45825</v>
      </c>
      <c r="B14" s="13">
        <v>17</v>
      </c>
      <c r="C14" s="6">
        <v>45855</v>
      </c>
      <c r="D14" s="1" t="s">
        <v>69</v>
      </c>
      <c r="E14" s="5" t="s">
        <v>79</v>
      </c>
      <c r="F14" s="10">
        <v>1320</v>
      </c>
      <c r="G14" s="10">
        <v>1350</v>
      </c>
      <c r="H14" s="11">
        <v>700</v>
      </c>
      <c r="I14" s="11">
        <v>8</v>
      </c>
      <c r="J14" s="12">
        <v>110</v>
      </c>
      <c r="K14" s="13">
        <v>1580</v>
      </c>
      <c r="L14" s="13">
        <v>30</v>
      </c>
      <c r="M14" s="14"/>
      <c r="N14" s="13" t="s">
        <v>86</v>
      </c>
      <c r="O14" s="14"/>
      <c r="AU14" s="8"/>
      <c r="AV14" s="8">
        <v>110</v>
      </c>
      <c r="AW14" s="8">
        <v>110</v>
      </c>
      <c r="AX14" s="8">
        <v>110</v>
      </c>
      <c r="AY14" s="8">
        <v>110</v>
      </c>
      <c r="AZ14" s="8"/>
    </row>
    <row r="15" spans="1:53" x14ac:dyDescent="0.2">
      <c r="A15" s="2">
        <v>45826</v>
      </c>
      <c r="B15" s="13">
        <v>18</v>
      </c>
      <c r="C15" s="3">
        <v>45856</v>
      </c>
      <c r="D15" s="1" t="s">
        <v>70</v>
      </c>
      <c r="E15" s="5" t="s">
        <v>80</v>
      </c>
      <c r="F15" s="10">
        <v>730</v>
      </c>
      <c r="G15" s="10">
        <v>730</v>
      </c>
      <c r="H15" s="11">
        <v>150</v>
      </c>
      <c r="I15" s="11">
        <v>4</v>
      </c>
      <c r="J15" s="12">
        <v>170</v>
      </c>
      <c r="K15" s="13">
        <v>830</v>
      </c>
      <c r="L15" s="13">
        <v>30</v>
      </c>
      <c r="M15" s="14"/>
      <c r="N15" s="13"/>
      <c r="O15" s="14"/>
      <c r="AU15" s="8"/>
      <c r="AV15" s="8">
        <v>170</v>
      </c>
      <c r="AW15" s="8">
        <v>170</v>
      </c>
      <c r="AX15" s="8">
        <v>170</v>
      </c>
      <c r="AY15" s="8"/>
      <c r="AZ15" s="8"/>
    </row>
    <row r="16" spans="1:53" x14ac:dyDescent="0.2">
      <c r="A16" s="2">
        <v>45826</v>
      </c>
      <c r="B16" s="13">
        <v>18</v>
      </c>
      <c r="C16" s="3">
        <v>45856</v>
      </c>
      <c r="D16" s="1" t="s">
        <v>71</v>
      </c>
      <c r="E16" s="5" t="s">
        <v>79</v>
      </c>
      <c r="F16" s="10">
        <v>1315</v>
      </c>
      <c r="G16" s="10">
        <v>1320</v>
      </c>
      <c r="H16" s="11">
        <v>750</v>
      </c>
      <c r="I16" s="11">
        <v>3</v>
      </c>
      <c r="J16" s="12">
        <v>215</v>
      </c>
      <c r="K16" s="13">
        <v>1395</v>
      </c>
      <c r="L16" s="13">
        <v>30</v>
      </c>
      <c r="M16" s="14"/>
      <c r="N16" s="13"/>
      <c r="O16" s="14"/>
      <c r="AU16" s="8"/>
      <c r="AV16" s="8">
        <v>215</v>
      </c>
      <c r="AW16" s="8">
        <v>215</v>
      </c>
      <c r="AX16" s="8">
        <v>210</v>
      </c>
      <c r="AY16" s="8">
        <v>5</v>
      </c>
      <c r="AZ16" s="8"/>
    </row>
    <row r="17" spans="1:52" x14ac:dyDescent="0.2">
      <c r="A17" s="2">
        <v>45826</v>
      </c>
      <c r="B17" s="13">
        <v>18</v>
      </c>
      <c r="C17" s="3">
        <v>45856</v>
      </c>
      <c r="D17" s="1" t="s">
        <v>72</v>
      </c>
      <c r="E17" s="5" t="s">
        <v>81</v>
      </c>
      <c r="F17" s="10">
        <v>620</v>
      </c>
      <c r="G17" s="10">
        <v>700</v>
      </c>
      <c r="H17" s="11">
        <v>0</v>
      </c>
      <c r="I17" s="11">
        <v>10</v>
      </c>
      <c r="J17" s="12">
        <v>100</v>
      </c>
      <c r="K17" s="13">
        <v>1000</v>
      </c>
      <c r="L17" s="13">
        <v>30</v>
      </c>
      <c r="M17" s="14"/>
      <c r="N17" s="13" t="s">
        <v>86</v>
      </c>
      <c r="O17" s="14"/>
      <c r="AU17" s="8"/>
      <c r="AV17" s="8">
        <v>100</v>
      </c>
      <c r="AW17" s="8">
        <v>100</v>
      </c>
      <c r="AX17" s="8">
        <v>100</v>
      </c>
      <c r="AY17" s="8">
        <v>100</v>
      </c>
      <c r="AZ17" s="8"/>
    </row>
    <row r="18" spans="1:52" x14ac:dyDescent="0.2">
      <c r="A18" s="2">
        <v>45826</v>
      </c>
      <c r="B18" s="13">
        <v>18</v>
      </c>
      <c r="C18" s="3">
        <v>45856</v>
      </c>
      <c r="D18" s="1" t="s">
        <v>73</v>
      </c>
      <c r="E18" s="5" t="s">
        <v>82</v>
      </c>
      <c r="F18" s="10">
        <v>1085</v>
      </c>
      <c r="G18" s="10">
        <v>1100</v>
      </c>
      <c r="H18" s="11">
        <v>300</v>
      </c>
      <c r="I18" s="11">
        <v>5</v>
      </c>
      <c r="J18" s="12">
        <v>190</v>
      </c>
      <c r="K18" s="13">
        <v>1250</v>
      </c>
      <c r="L18" s="13">
        <v>30</v>
      </c>
      <c r="M18" s="14"/>
      <c r="N18" s="13"/>
      <c r="O18" s="14"/>
      <c r="AU18" s="8"/>
      <c r="AV18" s="8">
        <v>190</v>
      </c>
      <c r="AW18" s="8">
        <v>190</v>
      </c>
      <c r="AX18" s="8">
        <v>190</v>
      </c>
      <c r="AY18" s="8">
        <v>190</v>
      </c>
      <c r="AZ18" s="8"/>
    </row>
    <row r="19" spans="1:52" x14ac:dyDescent="0.2">
      <c r="A19" s="2">
        <v>45826</v>
      </c>
      <c r="B19" s="13">
        <v>18</v>
      </c>
      <c r="C19" s="3">
        <v>45856</v>
      </c>
      <c r="D19" s="1" t="s">
        <v>74</v>
      </c>
      <c r="E19" s="5" t="s">
        <v>83</v>
      </c>
      <c r="F19" s="10">
        <v>1310</v>
      </c>
      <c r="G19" s="10">
        <v>1330</v>
      </c>
      <c r="H19" s="11">
        <v>300</v>
      </c>
      <c r="I19" s="11">
        <v>10</v>
      </c>
      <c r="J19" s="12">
        <v>145</v>
      </c>
      <c r="K19" s="13">
        <v>1750</v>
      </c>
      <c r="L19" s="13">
        <v>30</v>
      </c>
      <c r="M19" s="14"/>
      <c r="N19" s="13"/>
      <c r="O19" s="14"/>
      <c r="AU19" s="8"/>
      <c r="AV19" s="8">
        <v>145</v>
      </c>
      <c r="AW19" s="8">
        <v>145</v>
      </c>
      <c r="AX19" s="8">
        <v>145</v>
      </c>
      <c r="AY19" s="8">
        <v>145</v>
      </c>
      <c r="AZ19" s="8"/>
    </row>
    <row r="20" spans="1:52" x14ac:dyDescent="0.2">
      <c r="A20" s="2">
        <v>45825</v>
      </c>
      <c r="B20" s="13">
        <v>17</v>
      </c>
      <c r="C20" s="6">
        <v>45855</v>
      </c>
      <c r="D20" s="1" t="s">
        <v>75</v>
      </c>
      <c r="E20" s="5" t="s">
        <v>84</v>
      </c>
      <c r="F20" s="10">
        <v>550</v>
      </c>
      <c r="G20" s="10">
        <v>580</v>
      </c>
      <c r="H20" s="11">
        <v>180</v>
      </c>
      <c r="I20" s="11">
        <v>5</v>
      </c>
      <c r="J20" s="12">
        <v>100</v>
      </c>
      <c r="K20" s="13">
        <v>680</v>
      </c>
      <c r="L20" s="13">
        <v>30</v>
      </c>
      <c r="M20" s="14"/>
      <c r="N20" s="13"/>
      <c r="O20" s="14"/>
      <c r="AU20" s="8"/>
      <c r="AV20" s="8">
        <v>100</v>
      </c>
      <c r="AW20" s="8">
        <v>100</v>
      </c>
      <c r="AX20" s="8">
        <v>100</v>
      </c>
      <c r="AY20" s="8">
        <v>100</v>
      </c>
      <c r="AZ20" s="8"/>
    </row>
    <row r="21" spans="1:52" x14ac:dyDescent="0.2">
      <c r="A21" s="2">
        <v>45825</v>
      </c>
      <c r="B21" s="13">
        <v>17</v>
      </c>
      <c r="C21" s="6">
        <v>45855</v>
      </c>
      <c r="D21" s="1" t="s">
        <v>76</v>
      </c>
      <c r="E21" s="5" t="s">
        <v>85</v>
      </c>
      <c r="F21" s="10">
        <v>600</v>
      </c>
      <c r="G21" s="10">
        <v>630</v>
      </c>
      <c r="H21" s="11">
        <v>200</v>
      </c>
      <c r="I21" s="11">
        <v>6</v>
      </c>
      <c r="J21" s="12">
        <v>90</v>
      </c>
      <c r="K21" s="13">
        <v>740</v>
      </c>
      <c r="L21" s="13">
        <v>30</v>
      </c>
      <c r="M21" s="14"/>
      <c r="N21" s="13"/>
      <c r="O21" s="14"/>
      <c r="AU21" s="8"/>
      <c r="AV21" s="8">
        <v>90</v>
      </c>
      <c r="AW21" s="8">
        <v>90</v>
      </c>
      <c r="AX21" s="8">
        <v>90</v>
      </c>
      <c r="AY21" s="8">
        <v>90</v>
      </c>
      <c r="AZ21" s="8"/>
    </row>
    <row r="22" spans="1:52" x14ac:dyDescent="0.2">
      <c r="A22" s="2">
        <v>45825</v>
      </c>
      <c r="B22" s="13">
        <v>17</v>
      </c>
      <c r="C22" s="6">
        <v>45855</v>
      </c>
      <c r="D22" s="1" t="s">
        <v>77</v>
      </c>
      <c r="E22" s="5" t="s">
        <v>82</v>
      </c>
      <c r="F22" s="10">
        <v>1090</v>
      </c>
      <c r="G22" s="10">
        <v>1110</v>
      </c>
      <c r="H22" s="11">
        <v>500</v>
      </c>
      <c r="I22" s="11">
        <v>2</v>
      </c>
      <c r="J22" s="12">
        <v>325</v>
      </c>
      <c r="K22" s="13">
        <v>1150</v>
      </c>
      <c r="L22" s="13">
        <v>30</v>
      </c>
      <c r="M22" s="14"/>
      <c r="N22" s="13" t="s">
        <v>86</v>
      </c>
      <c r="O22" s="14"/>
      <c r="AU22" s="8"/>
      <c r="AV22" s="8">
        <v>325</v>
      </c>
      <c r="AW22" s="8">
        <v>300</v>
      </c>
      <c r="AX22" s="8"/>
      <c r="AY22" s="8"/>
      <c r="AZ22" s="8"/>
    </row>
    <row r="23" spans="1:52" x14ac:dyDescent="0.2">
      <c r="A23" s="2">
        <v>45825</v>
      </c>
      <c r="B23" s="13">
        <v>17</v>
      </c>
      <c r="C23" s="6">
        <v>45855</v>
      </c>
      <c r="D23" s="1" t="s">
        <v>87</v>
      </c>
      <c r="E23" s="4" t="s">
        <v>79</v>
      </c>
      <c r="F23" s="10">
        <v>570</v>
      </c>
      <c r="G23" s="10">
        <v>580</v>
      </c>
      <c r="H23" s="11">
        <v>0</v>
      </c>
      <c r="I23" s="11">
        <v>6</v>
      </c>
      <c r="J23" s="12">
        <v>116</v>
      </c>
      <c r="K23" s="13">
        <v>696</v>
      </c>
      <c r="L23" s="13">
        <v>30</v>
      </c>
      <c r="M23" s="14"/>
      <c r="N23" s="13"/>
      <c r="O23" s="14"/>
      <c r="AU23" s="8"/>
      <c r="AV23" s="8">
        <v>116</v>
      </c>
      <c r="AW23" s="8">
        <v>116</v>
      </c>
      <c r="AX23" s="8">
        <v>116</v>
      </c>
      <c r="AY23" s="8">
        <v>116</v>
      </c>
      <c r="AZ23" s="8"/>
    </row>
    <row r="24" spans="1:52" x14ac:dyDescent="0.2">
      <c r="A24" s="2">
        <v>45825</v>
      </c>
      <c r="B24" s="13">
        <v>17</v>
      </c>
      <c r="C24" s="6">
        <v>45855</v>
      </c>
      <c r="D24" s="1" t="s">
        <v>88</v>
      </c>
      <c r="E24" s="4" t="s">
        <v>82</v>
      </c>
      <c r="F24" s="10">
        <v>1380</v>
      </c>
      <c r="G24" s="10">
        <v>1390</v>
      </c>
      <c r="H24" s="11">
        <v>500</v>
      </c>
      <c r="I24" s="11">
        <v>6</v>
      </c>
      <c r="J24" s="12">
        <v>177</v>
      </c>
      <c r="K24" s="13">
        <v>1562</v>
      </c>
      <c r="L24" s="13">
        <v>30</v>
      </c>
      <c r="M24" s="14"/>
      <c r="N24" s="13"/>
      <c r="O24" s="14"/>
      <c r="AU24" s="8"/>
      <c r="AV24" s="8">
        <v>177</v>
      </c>
      <c r="AW24" s="8">
        <v>177</v>
      </c>
      <c r="AX24" s="8">
        <v>100</v>
      </c>
      <c r="AY24" s="8"/>
      <c r="AZ24" s="8"/>
    </row>
    <row r="25" spans="1:52" x14ac:dyDescent="0.2">
      <c r="A25" s="2">
        <v>45826</v>
      </c>
      <c r="B25" s="13">
        <v>18</v>
      </c>
      <c r="C25" s="3">
        <v>45856</v>
      </c>
      <c r="D25" s="1" t="s">
        <v>89</v>
      </c>
      <c r="E25" s="4" t="s">
        <v>97</v>
      </c>
      <c r="F25" s="10">
        <v>540</v>
      </c>
      <c r="G25" s="10">
        <v>560</v>
      </c>
      <c r="H25" s="11">
        <v>0</v>
      </c>
      <c r="I25" s="11">
        <v>8</v>
      </c>
      <c r="J25" s="12">
        <v>97</v>
      </c>
      <c r="K25" s="13">
        <v>776</v>
      </c>
      <c r="L25" s="13">
        <v>30</v>
      </c>
      <c r="M25" s="14"/>
      <c r="N25" s="13"/>
      <c r="O25" s="14"/>
      <c r="AU25" s="8"/>
      <c r="AV25" s="8">
        <v>97</v>
      </c>
      <c r="AW25" s="8">
        <v>97</v>
      </c>
      <c r="AX25" s="8">
        <v>97</v>
      </c>
      <c r="AY25" s="8">
        <v>97</v>
      </c>
      <c r="AZ25" s="8"/>
    </row>
    <row r="26" spans="1:52" x14ac:dyDescent="0.2">
      <c r="A26" s="2">
        <v>45826</v>
      </c>
      <c r="B26" s="13">
        <v>18</v>
      </c>
      <c r="C26" s="3">
        <v>45856</v>
      </c>
      <c r="D26" s="1" t="s">
        <v>90</v>
      </c>
      <c r="E26" s="4" t="s">
        <v>98</v>
      </c>
      <c r="F26" s="10">
        <v>750</v>
      </c>
      <c r="G26" s="10">
        <v>750</v>
      </c>
      <c r="H26" s="11">
        <v>100</v>
      </c>
      <c r="I26" s="11">
        <v>6</v>
      </c>
      <c r="J26" s="12">
        <v>140</v>
      </c>
      <c r="K26" s="13">
        <v>940</v>
      </c>
      <c r="L26" s="13">
        <v>30</v>
      </c>
      <c r="M26" s="14"/>
      <c r="N26" s="13"/>
      <c r="O26" s="14"/>
      <c r="AU26" s="8"/>
      <c r="AV26" s="8">
        <v>140</v>
      </c>
      <c r="AW26" s="8">
        <v>140</v>
      </c>
      <c r="AX26" s="8">
        <v>140</v>
      </c>
      <c r="AY26" s="8">
        <v>140</v>
      </c>
      <c r="AZ26" s="8"/>
    </row>
    <row r="27" spans="1:52" x14ac:dyDescent="0.2">
      <c r="A27" s="2">
        <v>45826</v>
      </c>
      <c r="B27" s="13">
        <v>18</v>
      </c>
      <c r="C27" s="3">
        <v>45856</v>
      </c>
      <c r="D27" s="1" t="s">
        <v>91</v>
      </c>
      <c r="E27" s="4" t="s">
        <v>79</v>
      </c>
      <c r="F27" s="10">
        <f>1185+755</f>
        <v>1940</v>
      </c>
      <c r="G27" s="10">
        <v>1970</v>
      </c>
      <c r="H27" s="11">
        <v>300</v>
      </c>
      <c r="I27" s="11">
        <v>5</v>
      </c>
      <c r="J27" s="12">
        <v>400</v>
      </c>
      <c r="K27" s="13">
        <v>2300</v>
      </c>
      <c r="L27" s="13">
        <v>30</v>
      </c>
      <c r="M27" s="14"/>
      <c r="N27" s="13"/>
      <c r="O27" s="14"/>
      <c r="AU27" s="8"/>
      <c r="AV27" s="8">
        <v>400</v>
      </c>
      <c r="AW27" s="8">
        <v>400</v>
      </c>
      <c r="AX27" s="8">
        <v>400</v>
      </c>
      <c r="AY27" s="8">
        <v>400</v>
      </c>
      <c r="AZ27" s="8">
        <v>200</v>
      </c>
    </row>
    <row r="28" spans="1:52" x14ac:dyDescent="0.2">
      <c r="A28" s="2">
        <v>45826</v>
      </c>
      <c r="B28" s="13">
        <v>18</v>
      </c>
      <c r="C28" s="3">
        <v>45856</v>
      </c>
      <c r="D28" s="1" t="s">
        <v>92</v>
      </c>
      <c r="E28" s="4" t="s">
        <v>99</v>
      </c>
      <c r="F28" s="10">
        <v>1160</v>
      </c>
      <c r="G28" s="10">
        <v>1180</v>
      </c>
      <c r="H28" s="11">
        <v>150</v>
      </c>
      <c r="I28" s="11">
        <v>6</v>
      </c>
      <c r="J28" s="12">
        <v>220</v>
      </c>
      <c r="K28" s="13">
        <v>1470</v>
      </c>
      <c r="L28" s="13">
        <v>30</v>
      </c>
      <c r="M28" s="14"/>
      <c r="N28" s="13"/>
      <c r="O28" s="14"/>
      <c r="AU28" s="8"/>
      <c r="AV28" s="8">
        <v>1000</v>
      </c>
      <c r="AW28" s="8">
        <v>470</v>
      </c>
      <c r="AX28" s="8"/>
      <c r="AY28" s="8"/>
      <c r="AZ28" s="8"/>
    </row>
    <row r="29" spans="1:52" x14ac:dyDescent="0.2">
      <c r="A29" s="2">
        <v>45826</v>
      </c>
      <c r="B29" s="13">
        <v>18</v>
      </c>
      <c r="C29" s="3">
        <v>45856</v>
      </c>
      <c r="D29" s="1" t="s">
        <v>93</v>
      </c>
      <c r="E29" s="4" t="s">
        <v>100</v>
      </c>
      <c r="F29" s="10">
        <v>650</v>
      </c>
      <c r="G29" s="10">
        <v>650</v>
      </c>
      <c r="H29" s="11">
        <v>100</v>
      </c>
      <c r="I29" s="11">
        <v>6</v>
      </c>
      <c r="J29" s="12">
        <v>120</v>
      </c>
      <c r="K29" s="13">
        <v>820</v>
      </c>
      <c r="L29" s="13">
        <v>30</v>
      </c>
      <c r="M29" s="14"/>
      <c r="N29" s="13"/>
      <c r="O29" s="14"/>
      <c r="AU29" s="8"/>
      <c r="AV29" s="8">
        <v>120</v>
      </c>
      <c r="AW29" s="8">
        <v>120</v>
      </c>
      <c r="AX29" s="8">
        <v>120</v>
      </c>
      <c r="AY29" s="8">
        <v>120</v>
      </c>
      <c r="AZ29" s="8"/>
    </row>
    <row r="30" spans="1:52" x14ac:dyDescent="0.2">
      <c r="A30" s="2">
        <v>45826</v>
      </c>
      <c r="B30" s="13">
        <v>18</v>
      </c>
      <c r="C30" s="3">
        <v>45856</v>
      </c>
      <c r="D30" s="1" t="s">
        <v>94</v>
      </c>
      <c r="E30" s="4" t="s">
        <v>101</v>
      </c>
      <c r="F30" s="10">
        <v>1280</v>
      </c>
      <c r="G30" s="10">
        <v>1310</v>
      </c>
      <c r="H30" s="11">
        <v>200</v>
      </c>
      <c r="I30" s="11">
        <v>10</v>
      </c>
      <c r="J30" s="12">
        <v>157</v>
      </c>
      <c r="K30" s="13">
        <v>1770</v>
      </c>
      <c r="L30" s="13">
        <v>30</v>
      </c>
      <c r="M30" s="14"/>
      <c r="N30" s="13"/>
      <c r="O30" s="14"/>
      <c r="AU30" s="8"/>
      <c r="AV30" s="8">
        <v>157</v>
      </c>
      <c r="AW30" s="8">
        <v>157</v>
      </c>
      <c r="AX30" s="8">
        <v>157</v>
      </c>
      <c r="AY30" s="8"/>
      <c r="AZ30" s="8"/>
    </row>
    <row r="31" spans="1:52" x14ac:dyDescent="0.2">
      <c r="A31" s="2">
        <v>45826</v>
      </c>
      <c r="B31" s="13">
        <v>18</v>
      </c>
      <c r="C31" s="3">
        <v>45856</v>
      </c>
      <c r="D31" s="1" t="s">
        <v>95</v>
      </c>
      <c r="E31" s="4" t="s">
        <v>102</v>
      </c>
      <c r="F31" s="10">
        <v>1280</v>
      </c>
      <c r="G31" s="10">
        <v>1310</v>
      </c>
      <c r="H31" s="11">
        <v>200</v>
      </c>
      <c r="I31" s="11">
        <v>11</v>
      </c>
      <c r="J31" s="12">
        <v>148.18</v>
      </c>
      <c r="K31" s="13">
        <v>1830</v>
      </c>
      <c r="L31" s="13">
        <v>30</v>
      </c>
      <c r="M31" s="14"/>
      <c r="N31" s="13"/>
      <c r="O31" s="14"/>
      <c r="AU31" s="8"/>
      <c r="AV31" s="8">
        <v>148</v>
      </c>
      <c r="AW31" s="8">
        <v>148</v>
      </c>
      <c r="AX31" s="8">
        <v>148</v>
      </c>
      <c r="AY31" s="8">
        <v>148</v>
      </c>
      <c r="AZ31" s="8">
        <v>148</v>
      </c>
    </row>
    <row r="32" spans="1:52" x14ac:dyDescent="0.2">
      <c r="A32" s="2">
        <v>45826</v>
      </c>
      <c r="B32" s="13">
        <v>18</v>
      </c>
      <c r="C32" s="3">
        <v>45856</v>
      </c>
      <c r="D32" s="1" t="s">
        <v>96</v>
      </c>
      <c r="E32" s="4" t="s">
        <v>103</v>
      </c>
      <c r="F32" s="10">
        <v>1560</v>
      </c>
      <c r="G32" s="10">
        <v>1580</v>
      </c>
      <c r="H32" s="11">
        <v>0</v>
      </c>
      <c r="I32" s="11">
        <v>12</v>
      </c>
      <c r="J32" s="12">
        <v>190</v>
      </c>
      <c r="K32" s="13">
        <v>2280</v>
      </c>
      <c r="L32" s="13">
        <v>30</v>
      </c>
      <c r="M32" s="14"/>
      <c r="N32" s="13"/>
      <c r="O32" s="14"/>
      <c r="AU32" s="8"/>
      <c r="AV32" s="8">
        <v>190</v>
      </c>
      <c r="AW32" s="8">
        <v>190</v>
      </c>
      <c r="AX32" s="8">
        <v>90</v>
      </c>
      <c r="AY32" s="8"/>
      <c r="AZ32" s="8"/>
    </row>
  </sheetData>
  <phoneticPr fontId="1" type="noConversion"/>
  <conditionalFormatting sqref="F13:F14">
    <cfRule type="cellIs" dxfId="17" priority="18" operator="lessThan">
      <formula>0</formula>
    </cfRule>
  </conditionalFormatting>
  <conditionalFormatting sqref="F13:F14">
    <cfRule type="cellIs" dxfId="16" priority="17" operator="greaterThan">
      <formula>0</formula>
    </cfRule>
  </conditionalFormatting>
  <conditionalFormatting sqref="F15:F22">
    <cfRule type="cellIs" dxfId="15" priority="16" operator="lessThan">
      <formula>0</formula>
    </cfRule>
  </conditionalFormatting>
  <conditionalFormatting sqref="F15:F22">
    <cfRule type="cellIs" dxfId="14" priority="15" operator="greaterThan">
      <formula>0</formula>
    </cfRule>
  </conditionalFormatting>
  <conditionalFormatting sqref="G13:G14">
    <cfRule type="cellIs" dxfId="13" priority="14" operator="lessThan">
      <formula>0</formula>
    </cfRule>
  </conditionalFormatting>
  <conditionalFormatting sqref="G13:G14">
    <cfRule type="cellIs" dxfId="12" priority="13" operator="greaterThan">
      <formula>0</formula>
    </cfRule>
  </conditionalFormatting>
  <conditionalFormatting sqref="G15:G22">
    <cfRule type="cellIs" dxfId="11" priority="12" operator="lessThan">
      <formula>0</formula>
    </cfRule>
  </conditionalFormatting>
  <conditionalFormatting sqref="G15:G22">
    <cfRule type="cellIs" dxfId="10" priority="11" operator="greaterThan">
      <formula>0</formula>
    </cfRule>
  </conditionalFormatting>
  <conditionalFormatting sqref="H13:H14">
    <cfRule type="cellIs" dxfId="9" priority="10" operator="lessThan">
      <formula>0</formula>
    </cfRule>
  </conditionalFormatting>
  <conditionalFormatting sqref="H13:H14">
    <cfRule type="cellIs" dxfId="8" priority="9" operator="greaterThan">
      <formula>0</formula>
    </cfRule>
  </conditionalFormatting>
  <conditionalFormatting sqref="H15:H22">
    <cfRule type="cellIs" dxfId="7" priority="8" operator="lessThan">
      <formula>0</formula>
    </cfRule>
  </conditionalFormatting>
  <conditionalFormatting sqref="H15:H22">
    <cfRule type="cellIs" dxfId="6" priority="7" operator="greaterThan">
      <formula>0</formula>
    </cfRule>
  </conditionalFormatting>
  <conditionalFormatting sqref="F3:H11">
    <cfRule type="cellIs" dxfId="5" priority="6" operator="lessThan">
      <formula>0</formula>
    </cfRule>
  </conditionalFormatting>
  <conditionalFormatting sqref="F3:H11">
    <cfRule type="cellIs" dxfId="4" priority="5" operator="greaterThan">
      <formula>0</formula>
    </cfRule>
  </conditionalFormatting>
  <conditionalFormatting sqref="F12:H12">
    <cfRule type="cellIs" dxfId="3" priority="4" operator="lessThan">
      <formula>0</formula>
    </cfRule>
  </conditionalFormatting>
  <conditionalFormatting sqref="F12:H12">
    <cfRule type="cellIs" dxfId="2" priority="3" operator="greaterThan">
      <formula>0</formula>
    </cfRule>
  </conditionalFormatting>
  <conditionalFormatting sqref="F23:H32">
    <cfRule type="cellIs" dxfId="1" priority="2" operator="lessThan">
      <formula>0</formula>
    </cfRule>
  </conditionalFormatting>
  <conditionalFormatting sqref="F23:H32">
    <cfRule type="cellIs" dxfId="0" priority="1" operator="greaterThan">
      <formula>0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Пользователь</dc:creator>
  <dc:description/>
  <cp:lastModifiedBy>Пользователь</cp:lastModifiedBy>
  <cp:revision>1</cp:revision>
  <dcterms:created xsi:type="dcterms:W3CDTF">2025-07-23T10:50:32Z</dcterms:created>
  <dcterms:modified xsi:type="dcterms:W3CDTF">2025-11-17T16:44:16Z</dcterms:modified>
  <dc:language>en-US</dc:language>
</cp:coreProperties>
</file>